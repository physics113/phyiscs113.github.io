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colbert\Box\Colbert Non Shared documents\Coronaverse items\Advanced Lab Spring 2021\"/>
    </mc:Choice>
  </mc:AlternateContent>
  <bookViews>
    <workbookView xWindow="0" yWindow="0" windowWidth="24408" windowHeight="76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J13" i="1"/>
  <c r="C14" i="1"/>
  <c r="D14" i="1"/>
  <c r="G13" i="1" s="1"/>
  <c r="B14" i="1"/>
  <c r="E3" i="1"/>
  <c r="E4" i="1"/>
  <c r="E14" i="1" s="1"/>
  <c r="E5" i="1"/>
  <c r="E6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D2" i="1"/>
  <c r="G14" i="1" l="1"/>
  <c r="G15" i="1"/>
  <c r="J8" i="1" l="1"/>
  <c r="J7" i="1"/>
  <c r="J6" i="1"/>
  <c r="J5" i="1"/>
  <c r="J4" i="1"/>
  <c r="J3" i="1"/>
  <c r="J2" i="1"/>
  <c r="J12" i="1"/>
  <c r="J11" i="1"/>
  <c r="J10" i="1"/>
  <c r="J9" i="1"/>
  <c r="J15" i="1" l="1"/>
  <c r="H15" i="1" l="1"/>
</calcChain>
</file>

<file path=xl/sharedStrings.xml><?xml version="1.0" encoding="utf-8"?>
<sst xmlns="http://schemas.openxmlformats.org/spreadsheetml/2006/main" count="11" uniqueCount="11">
  <si>
    <t>y</t>
  </si>
  <si>
    <t>x</t>
  </si>
  <si>
    <t>x^2</t>
  </si>
  <si>
    <t>x*y</t>
  </si>
  <si>
    <t>(y-a-bx)^2</t>
  </si>
  <si>
    <t>SUMS</t>
  </si>
  <si>
    <t xml:space="preserve"> </t>
  </si>
  <si>
    <t>Delta=</t>
  </si>
  <si>
    <t>a=</t>
  </si>
  <si>
    <t>b=</t>
  </si>
  <si>
    <t>Sigma^2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</si>
</sst>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E+00"/>
    <numFmt numFmtId="165" formatCode="0.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H15" sqref="H15"/>
    </sheetView>
  </sheetViews>
  <sheetFormatPr defaultRowHeight="14.4" x14ac:dyDescent="0.3"/>
  <cols>
    <col min="4" max="5" width="11.21875" bestFit="1" customWidth="1"/>
    <col min="7" max="7" width="14.6640625" bestFit="1" customWidth="1"/>
    <col min="8" max="8" width="14.6640625" customWidth="1"/>
    <col min="10" max="10" width="12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6</v>
      </c>
      <c r="J1" t="s">
        <v>4</v>
      </c>
    </row>
    <row r="2" spans="1:10" x14ac:dyDescent="0.3">
      <c r="B2">
        <v>0</v>
      </c>
      <c r="C2" s="1">
        <v>2.4E-10</v>
      </c>
      <c r="D2" s="1">
        <f>C2^2</f>
        <v>5.7599999999999998E-20</v>
      </c>
      <c r="E2" s="1">
        <f>B2*C2</f>
        <v>0</v>
      </c>
      <c r="J2">
        <f>(B2-G14-G15*C2)^2</f>
        <v>1.0751003527084352E-6</v>
      </c>
    </row>
    <row r="3" spans="1:10" x14ac:dyDescent="0.3">
      <c r="B3">
        <v>0.2</v>
      </c>
      <c r="C3" s="1">
        <v>8.7999999999999996E-10</v>
      </c>
      <c r="D3" s="1">
        <f t="shared" ref="D3:D12" si="0">C3^2</f>
        <v>7.743999999999999E-19</v>
      </c>
      <c r="E3" s="1">
        <f t="shared" ref="E3:E12" si="1">B3*C3</f>
        <v>1.7600000000000001E-10</v>
      </c>
      <c r="J3">
        <f>(B3-G14-G15*C3)^2</f>
        <v>5.3822981705620523E-5</v>
      </c>
    </row>
    <row r="4" spans="1:10" x14ac:dyDescent="0.3">
      <c r="B4">
        <v>0.4</v>
      </c>
      <c r="C4" s="1">
        <v>1.5400000000000001E-9</v>
      </c>
      <c r="D4" s="1">
        <f t="shared" si="0"/>
        <v>2.3716000000000002E-18</v>
      </c>
      <c r="E4" s="1">
        <f t="shared" si="1"/>
        <v>6.1600000000000004E-10</v>
      </c>
      <c r="J4">
        <f>(B4-G14-G15*C4)^2</f>
        <v>9.4504940734906995E-5</v>
      </c>
    </row>
    <row r="5" spans="1:10" x14ac:dyDescent="0.3">
      <c r="B5">
        <v>0.6</v>
      </c>
      <c r="C5" s="1">
        <v>2.2600000000000001E-9</v>
      </c>
      <c r="D5" s="1">
        <f t="shared" si="0"/>
        <v>5.1076000000000005E-18</v>
      </c>
      <c r="E5" s="1">
        <f t="shared" si="1"/>
        <v>1.3560000000000001E-9</v>
      </c>
      <c r="J5">
        <f>(B5-G14-G15*C5)^2</f>
        <v>3.4324236151863396E-5</v>
      </c>
    </row>
    <row r="6" spans="1:10" x14ac:dyDescent="0.3">
      <c r="B6">
        <v>0.8</v>
      </c>
      <c r="C6" s="1">
        <v>2.9600000000000001E-9</v>
      </c>
      <c r="D6" s="1">
        <f t="shared" si="0"/>
        <v>8.7616000000000012E-18</v>
      </c>
      <c r="E6" s="1">
        <f t="shared" si="1"/>
        <v>2.3680000000000001E-9</v>
      </c>
      <c r="J6">
        <f>(B6-G14-G15*C6)^2</f>
        <v>2.3871511420756105E-4</v>
      </c>
    </row>
    <row r="7" spans="1:10" x14ac:dyDescent="0.3">
      <c r="B7">
        <v>1</v>
      </c>
      <c r="C7" s="1">
        <v>3.5600000000000001E-9</v>
      </c>
      <c r="D7" s="1">
        <f t="shared" si="0"/>
        <v>1.26736E-17</v>
      </c>
      <c r="E7" s="1">
        <f t="shared" si="1"/>
        <v>3.5600000000000001E-9</v>
      </c>
      <c r="J7">
        <f>(B7-G14-G15*C7)^2</f>
        <v>2.4005557712497127E-5</v>
      </c>
    </row>
    <row r="8" spans="1:10" x14ac:dyDescent="0.3">
      <c r="B8">
        <v>1.2</v>
      </c>
      <c r="C8" s="1">
        <v>4.2000000000000004E-9</v>
      </c>
      <c r="D8" s="1">
        <f t="shared" si="0"/>
        <v>1.7640000000000005E-17</v>
      </c>
      <c r="E8" s="1">
        <f t="shared" si="1"/>
        <v>5.04E-9</v>
      </c>
      <c r="J8">
        <f>(B8-G14-G15*C8)^2</f>
        <v>1.7616806710267835E-4</v>
      </c>
    </row>
    <row r="9" spans="1:10" x14ac:dyDescent="0.3">
      <c r="B9">
        <v>1.4</v>
      </c>
      <c r="C9" s="1">
        <v>4.9200000000000004E-9</v>
      </c>
      <c r="D9" s="1">
        <f t="shared" si="0"/>
        <v>2.4206400000000004E-17</v>
      </c>
      <c r="E9" s="1">
        <f t="shared" si="1"/>
        <v>6.8880000000000002E-9</v>
      </c>
      <c r="J9">
        <f>(B9-G14-G15*C9)^2</f>
        <v>5.3232742610300706E-6</v>
      </c>
    </row>
    <row r="10" spans="1:10" x14ac:dyDescent="0.3">
      <c r="B10">
        <v>1.6</v>
      </c>
      <c r="C10" s="1">
        <v>5.6999999999999998E-9</v>
      </c>
      <c r="D10" s="1">
        <f t="shared" si="0"/>
        <v>3.2489999999999999E-17</v>
      </c>
      <c r="E10" s="1">
        <f t="shared" si="1"/>
        <v>9.1199999999999999E-9</v>
      </c>
      <c r="J10">
        <f>(B10-G14-G15*C10)^2</f>
        <v>1.2853860398771993E-3</v>
      </c>
    </row>
    <row r="11" spans="1:10" x14ac:dyDescent="0.3">
      <c r="B11">
        <v>1.8</v>
      </c>
      <c r="C11" s="1">
        <v>6.3199999999999997E-9</v>
      </c>
      <c r="D11" s="1">
        <f t="shared" si="0"/>
        <v>3.9942399999999995E-17</v>
      </c>
      <c r="E11" s="1">
        <f t="shared" si="1"/>
        <v>1.1376E-8</v>
      </c>
      <c r="J11">
        <f>(B11-G14-G15*C11)^2</f>
        <v>4.6184849943026846E-4</v>
      </c>
    </row>
    <row r="12" spans="1:10" x14ac:dyDescent="0.3">
      <c r="B12">
        <v>2</v>
      </c>
      <c r="C12" s="1">
        <v>6.7599999999999998E-9</v>
      </c>
      <c r="D12" s="1">
        <f t="shared" si="0"/>
        <v>4.5697599999999996E-17</v>
      </c>
      <c r="E12" s="1">
        <f t="shared" si="1"/>
        <v>1.352E-8</v>
      </c>
      <c r="J12">
        <f>(B12-G14-G15*C12)^2</f>
        <v>2.1870562164695607E-3</v>
      </c>
    </row>
    <row r="13" spans="1:10" x14ac:dyDescent="0.3">
      <c r="F13" t="s">
        <v>7</v>
      </c>
      <c r="G13">
        <f>11*(D14)-(C14)^2</f>
        <v>5.3931519999999993E-16</v>
      </c>
      <c r="J13">
        <f>SUM(J2:J12)</f>
        <v>4.5622300280058949E-3</v>
      </c>
    </row>
    <row r="14" spans="1:10" x14ac:dyDescent="0.3">
      <c r="A14" t="s">
        <v>5</v>
      </c>
      <c r="B14">
        <f>SUM(B2:B12)</f>
        <v>11</v>
      </c>
      <c r="C14">
        <f t="shared" ref="C14:E14" si="2">SUM(C2:C12)</f>
        <v>3.934E-8</v>
      </c>
      <c r="D14" s="3">
        <f t="shared" si="2"/>
        <v>1.8972279999999999E-16</v>
      </c>
      <c r="E14" s="3">
        <f t="shared" si="2"/>
        <v>5.4019999999999997E-8</v>
      </c>
      <c r="F14" t="s">
        <v>8</v>
      </c>
      <c r="G14" s="1">
        <f>(1/G13)*(D14*B14-C14*E14)</f>
        <v>-7.0823147576778933E-2</v>
      </c>
      <c r="H14" s="1">
        <f>SQRT((J15/G13)*D14)</f>
        <v>1.3353827660068627E-2</v>
      </c>
      <c r="J14" t="s">
        <v>10</v>
      </c>
    </row>
    <row r="15" spans="1:10" x14ac:dyDescent="0.3">
      <c r="F15" t="s">
        <v>9</v>
      </c>
      <c r="G15" s="2">
        <f>(1/G13)*(11*E14-C14*B14)</f>
        <v>299416741.82370532</v>
      </c>
      <c r="H15" s="2">
        <f>SQRT(11*J15/G13)</f>
        <v>3215454.3399715223</v>
      </c>
      <c r="J15">
        <f>(1/9)*SUM(J2:J12)</f>
        <v>5.0691444755621054E-4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Augusta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Colbert, Thomas M.</dc:creator>
  <cp:lastModifiedBy>Colbert, Thomas M.</cp:lastModifiedBy>
  <dcterms:created xsi:type="dcterms:W3CDTF">2021-01-27T16:39:04Z</dcterms:created>
  <dcterms:modified xsi:type="dcterms:W3CDTF">2021-01-28T13:01:21Z</dcterms:modified>
</cp:coreProperties>
</file>