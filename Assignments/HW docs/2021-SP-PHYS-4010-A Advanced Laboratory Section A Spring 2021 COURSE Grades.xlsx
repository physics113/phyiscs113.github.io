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colbert\Box\Colbert Non Shared documents\Coronaverse items\Advanced Lab Spring 2021\"/>
    </mc:Choice>
  </mc:AlternateContent>
  <bookViews>
    <workbookView xWindow="0" yWindow="0" windowWidth="19368" windowHeight="9192"/>
  </bookViews>
  <sheets>
    <sheet name="Grades" sheetId="1" r:id="rId1"/>
  </sheets>
  <calcPr calcId="162913"/>
</workbook>
</file>

<file path=xl/calcChain.xml><?xml version="1.0" encoding="utf-8"?>
<calcChain xmlns="http://schemas.openxmlformats.org/spreadsheetml/2006/main">
  <c r="AF3" i="1" l="1"/>
  <c r="AF2" i="1"/>
  <c r="AF5" i="1"/>
  <c r="AF12" i="1"/>
  <c r="AF6" i="1"/>
  <c r="AF8" i="1"/>
  <c r="AF4" i="1"/>
  <c r="AF11" i="1"/>
  <c r="AF13" i="1"/>
  <c r="AF14" i="1"/>
  <c r="AF15" i="1"/>
  <c r="AF10" i="1"/>
  <c r="AF9" i="1"/>
  <c r="AF7" i="1"/>
  <c r="W3" i="1"/>
  <c r="W2" i="1"/>
  <c r="W5" i="1"/>
  <c r="W12" i="1"/>
  <c r="W6" i="1"/>
  <c r="W8" i="1"/>
  <c r="W4" i="1"/>
  <c r="W11" i="1"/>
  <c r="W13" i="1"/>
  <c r="W14" i="1"/>
  <c r="W15" i="1"/>
  <c r="W10" i="1"/>
  <c r="W9" i="1"/>
  <c r="W7" i="1"/>
  <c r="O3" i="1"/>
  <c r="O2" i="1"/>
  <c r="O5" i="1"/>
  <c r="O12" i="1"/>
  <c r="O6" i="1"/>
  <c r="O8" i="1"/>
  <c r="O4" i="1"/>
  <c r="O11" i="1"/>
  <c r="O13" i="1"/>
  <c r="O14" i="1"/>
  <c r="O15" i="1"/>
  <c r="O10" i="1"/>
  <c r="O9" i="1"/>
  <c r="O7" i="1"/>
  <c r="K3" i="1"/>
  <c r="K2" i="1"/>
  <c r="K5" i="1"/>
  <c r="K12" i="1"/>
  <c r="K6" i="1"/>
  <c r="K8" i="1"/>
  <c r="AH8" i="1" s="1"/>
  <c r="K4" i="1"/>
  <c r="K11" i="1"/>
  <c r="K13" i="1"/>
  <c r="K14" i="1"/>
  <c r="K15" i="1"/>
  <c r="K10" i="1"/>
  <c r="K9" i="1"/>
  <c r="K7" i="1"/>
  <c r="AH6" i="1" s="1"/>
  <c r="AH4" i="1" l="1"/>
  <c r="AH14" i="1"/>
  <c r="AH11" i="1"/>
  <c r="AH5" i="1"/>
  <c r="AH3" i="1"/>
  <c r="AH13" i="1"/>
  <c r="AH9" i="1"/>
  <c r="AH15" i="1"/>
  <c r="AH2" i="1"/>
  <c r="AH7" i="1"/>
  <c r="AH12" i="1"/>
  <c r="AH10" i="1"/>
</calcChain>
</file>

<file path=xl/sharedStrings.xml><?xml version="1.0" encoding="utf-8"?>
<sst xmlns="http://schemas.openxmlformats.org/spreadsheetml/2006/main" count="75" uniqueCount="64">
  <si>
    <t>Username</t>
  </si>
  <si>
    <t>HW 1 Points Grade &lt;Numeric MaxPoints:10 Weight:11.111111111 Category:HomeWorks CategoryWeight:20&gt;</t>
  </si>
  <si>
    <t>HW2 Points Grade &lt;Numeric MaxPoints:10 Weight:11.111111111 Category:HomeWorks CategoryWeight:20&gt;</t>
  </si>
  <si>
    <t>HW3 Points Grade &lt;Numeric MaxPoints:10 Weight:11.111111111 Category:HomeWorks CategoryWeight:20&gt;</t>
  </si>
  <si>
    <t>HW4 Points Grade &lt;Numeric MaxPoints:10 Weight:11.111111111 Category:HomeWorks CategoryWeight:20&gt;</t>
  </si>
  <si>
    <t>HW 5 Thermal Points Grade &lt;Numeric MaxPoints:10 Weight:11.111111111 Category:HomeWorks CategoryWeight:20&gt;</t>
  </si>
  <si>
    <t>HW 6 Rydberg Points Grade &lt;Numeric MaxPoints:10 Weight:11.111111111 Category:HomeWorks CategoryWeight:20&gt;</t>
  </si>
  <si>
    <t>HW 7 Planck Points Grade &lt;Numeric MaxPoints:10 Weight:11.111111111 Category:HomeWorks CategoryWeight:20&gt;</t>
  </si>
  <si>
    <t>Presentations Points Grade &lt;Numeric MaxPoints:20 Weight:22.222222222 Category:HomeWorks CategoryWeight:20&gt;</t>
  </si>
  <si>
    <t>Mid lab book Points Grade &lt;Numeric MaxPoints:100 Weight:50 Category:Lab Books CategoryWeight:15&gt;</t>
  </si>
  <si>
    <t>End lab Points Grade &lt;Numeric MaxPoints:100 Weight:50 Category:Lab Books CategoryWeight:15&gt;</t>
  </si>
  <si>
    <t>Anal light Points Grade &lt;Numeric MaxPoints:100 Weight:16.666666667 Category:Analysis CategoryWeight:20&gt;</t>
  </si>
  <si>
    <t>Anal Michelson Points Grade &lt;Numeric MaxPoints:100 Weight:16.666666667 Category:Analysis CategoryWeight:20&gt;</t>
  </si>
  <si>
    <t>Anal Schawlow Points Grade &lt;Numeric MaxPoints:100 Weight:16.666666667 Category:Analysis CategoryWeight:20&gt;</t>
  </si>
  <si>
    <t>Anal Expansion Points Grade &lt;Numeric MaxPoints:100 Weight:16.666666667 Category:Analysis CategoryWeight:20&gt;</t>
  </si>
  <si>
    <t>Anal Hydrogen Gas Points Grade &lt;Numeric MaxPoints:100 Weight:16.666666667 Category:Analysis CategoryWeight:20&gt;</t>
  </si>
  <si>
    <t>Anal Planck Points Grade &lt;Numeric MaxPoints:100 Weight:16.666666667 Category:Analysis CategoryWeight:20&gt;</t>
  </si>
  <si>
    <t>Final Light Points Grade &lt;Numeric MaxPoints:100 Weight:16.666666667 Category:Final Report CategoryWeight:45&gt;</t>
  </si>
  <si>
    <t>Final Mich Points Grade &lt;Numeric MaxPoints:100 Weight:16.666666667 Category:Final Report CategoryWeight:45&gt;</t>
  </si>
  <si>
    <t>Final Schawlow Points Grade &lt;Numeric MaxPoints:100 Weight:16.666666667 Category:Final Report CategoryWeight:45&gt;</t>
  </si>
  <si>
    <t>Final Hydrogen Points Grade &lt;Numeric MaxPoints:100 Weight:16.666666667 Category:Final Report CategoryWeight:45&gt;</t>
  </si>
  <si>
    <t>Final Planck Points Grade &lt;Numeric MaxPoints:100 Weight:16.666666667 Category:Final Report CategoryWeight:45&gt;</t>
  </si>
  <si>
    <t>Final Thermal Expansion Points Grade &lt;Numeric MaxPoints:100 Weight:16.666666667 Category:Final Report CategoryWeight:45&gt;</t>
  </si>
  <si>
    <t>Calculated Final Grade Numerator</t>
  </si>
  <si>
    <t>Calculated Final Grade Denominator</t>
  </si>
  <si>
    <t>Adjusted Final Grade Numerator</t>
  </si>
  <si>
    <t>Adjusted Final Grade Denominator</t>
  </si>
  <si>
    <t>jjernigan</t>
  </si>
  <si>
    <t>pdyche</t>
  </si>
  <si>
    <t>abrady</t>
  </si>
  <si>
    <t>cinglett</t>
  </si>
  <si>
    <t>krexpiusvincen</t>
  </si>
  <si>
    <t>kisbel</t>
  </si>
  <si>
    <t>djohnson5</t>
  </si>
  <si>
    <t>ngray</t>
  </si>
  <si>
    <t>spunchbeddell</t>
  </si>
  <si>
    <t>sumsmith</t>
  </si>
  <si>
    <t>mwade3</t>
  </si>
  <si>
    <t>gzills</t>
  </si>
  <si>
    <t>npoole</t>
  </si>
  <si>
    <t>nmckinney</t>
  </si>
  <si>
    <t>HOMEWORK Percent (20)</t>
  </si>
  <si>
    <t>Lab books percent (15)</t>
  </si>
  <si>
    <t>Analysis percent (20)</t>
  </si>
  <si>
    <t>Final draft 45</t>
  </si>
  <si>
    <t>Course</t>
  </si>
  <si>
    <t>C</t>
  </si>
  <si>
    <t>A</t>
  </si>
  <si>
    <t>B</t>
  </si>
  <si>
    <t>Jernigan</t>
  </si>
  <si>
    <t>Dyche</t>
  </si>
  <si>
    <t>Brady</t>
  </si>
  <si>
    <t>Inglett</t>
  </si>
  <si>
    <t>Isbel</t>
  </si>
  <si>
    <t>Gray</t>
  </si>
  <si>
    <t>Zills</t>
  </si>
  <si>
    <t>Poole</t>
  </si>
  <si>
    <t>Rex</t>
  </si>
  <si>
    <t>Johnson</t>
  </si>
  <si>
    <t>Punch</t>
  </si>
  <si>
    <t>Smith</t>
  </si>
  <si>
    <t>Wade</t>
  </si>
  <si>
    <t>McKinney</t>
  </si>
  <si>
    <r>
      <t xml:space="preserve">I requested back work from Noah--He said he would by deadline set. </t>
    </r>
    <r>
      <rPr>
        <b/>
        <sz val="11"/>
        <color theme="1"/>
        <rFont val="Calibri"/>
        <family val="2"/>
        <scheme val="minor"/>
      </rPr>
      <t xml:space="preserve"> Before morning Friday May 7</t>
    </r>
    <r>
      <rPr>
        <sz val="11"/>
        <color theme="1"/>
        <rFont val="Calibri"/>
        <family val="2"/>
        <scheme val="minor"/>
      </rPr>
      <t>..  He has no work in by 11AM. ---handed in later---I gave 50 credit and changed D to 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</si>
</sst>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"/>
  <sheetViews>
    <sheetView tabSelected="1" workbookViewId="0">
      <selection activeCell="AJ11" sqref="AJ11"/>
    </sheetView>
  </sheetViews>
  <sheetFormatPr defaultRowHeight="14.4" x14ac:dyDescent="0.3"/>
  <cols>
    <col min="3" max="10" width="3.21875" style="1" customWidth="1"/>
    <col min="12" max="12" width="5.6640625" customWidth="1"/>
    <col min="13" max="14" width="3.6640625" customWidth="1"/>
    <col min="16" max="16" width="5.109375" customWidth="1"/>
    <col min="17" max="22" width="2.5546875" customWidth="1"/>
    <col min="24" max="25" width="2.88671875" customWidth="1"/>
    <col min="26" max="31" width="3" customWidth="1"/>
    <col min="35" max="35" width="8.88671875" style="1"/>
    <col min="36" max="36" width="31.88671875" customWidth="1"/>
  </cols>
  <sheetData>
    <row r="1" spans="1:40" x14ac:dyDescent="0.3"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41</v>
      </c>
      <c r="M1" t="s">
        <v>9</v>
      </c>
      <c r="N1" t="s">
        <v>10</v>
      </c>
      <c r="O1" t="s">
        <v>42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43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44</v>
      </c>
      <c r="AH1" t="s">
        <v>45</v>
      </c>
      <c r="AK1" t="s">
        <v>23</v>
      </c>
      <c r="AL1" t="s">
        <v>24</v>
      </c>
      <c r="AM1" t="s">
        <v>25</v>
      </c>
      <c r="AN1" t="s">
        <v>26</v>
      </c>
    </row>
    <row r="2" spans="1:40" x14ac:dyDescent="0.3">
      <c r="A2" t="s">
        <v>51</v>
      </c>
      <c r="B2" t="s">
        <v>29</v>
      </c>
      <c r="C2" s="1">
        <v>10</v>
      </c>
      <c r="D2" s="1">
        <v>5</v>
      </c>
      <c r="E2" s="1">
        <v>7</v>
      </c>
      <c r="F2" s="1">
        <v>9</v>
      </c>
      <c r="G2" s="1">
        <v>10</v>
      </c>
      <c r="H2" s="1">
        <v>7</v>
      </c>
      <c r="I2" s="1">
        <v>10</v>
      </c>
      <c r="J2" s="1">
        <v>18</v>
      </c>
      <c r="K2">
        <f t="shared" ref="K2:K15" si="0">SUM(C2:J2)/0.9</f>
        <v>84.444444444444443</v>
      </c>
      <c r="M2">
        <v>70</v>
      </c>
      <c r="N2">
        <v>90</v>
      </c>
      <c r="O2">
        <f t="shared" ref="O2:O15" si="1">SUM(M2:N2)/2</f>
        <v>80</v>
      </c>
      <c r="Q2">
        <v>64</v>
      </c>
      <c r="R2">
        <v>92</v>
      </c>
      <c r="S2">
        <v>79</v>
      </c>
      <c r="T2">
        <v>75</v>
      </c>
      <c r="U2">
        <v>81</v>
      </c>
      <c r="V2">
        <v>93</v>
      </c>
      <c r="W2">
        <f t="shared" ref="W2:W15" si="2">SUM(Q2:V2)/6</f>
        <v>80.666666666666671</v>
      </c>
      <c r="Z2">
        <v>47</v>
      </c>
      <c r="AA2">
        <v>59</v>
      </c>
      <c r="AB2">
        <v>70</v>
      </c>
      <c r="AC2">
        <v>90</v>
      </c>
      <c r="AD2">
        <v>90</v>
      </c>
      <c r="AE2">
        <v>91</v>
      </c>
      <c r="AF2">
        <f t="shared" ref="AF2:AF15" si="3">SUM(Z2:AE2)/6</f>
        <v>74.5</v>
      </c>
      <c r="AH2">
        <f t="shared" ref="AH2:AH15" si="4">0.2*K2+0.15*O2+0.2*W2+0.45*AF2</f>
        <v>78.547222222222217</v>
      </c>
      <c r="AI2" s="1" t="s">
        <v>48</v>
      </c>
      <c r="AK2">
        <v>78.547222222000002</v>
      </c>
      <c r="AL2">
        <v>100</v>
      </c>
    </row>
    <row r="3" spans="1:40" x14ac:dyDescent="0.3">
      <c r="A3" t="s">
        <v>50</v>
      </c>
      <c r="B3" t="s">
        <v>28</v>
      </c>
      <c r="C3" s="1">
        <v>10</v>
      </c>
      <c r="D3" s="1">
        <v>5</v>
      </c>
      <c r="E3" s="1">
        <v>8</v>
      </c>
      <c r="F3" s="1">
        <v>4</v>
      </c>
      <c r="G3" s="1">
        <v>10</v>
      </c>
      <c r="H3" s="1">
        <v>8</v>
      </c>
      <c r="I3" s="1">
        <v>9</v>
      </c>
      <c r="J3" s="1">
        <v>15</v>
      </c>
      <c r="K3">
        <f t="shared" si="0"/>
        <v>76.666666666666671</v>
      </c>
      <c r="M3">
        <v>55</v>
      </c>
      <c r="N3">
        <v>55</v>
      </c>
      <c r="O3">
        <f t="shared" si="1"/>
        <v>55</v>
      </c>
      <c r="Q3">
        <v>54</v>
      </c>
      <c r="R3">
        <v>74</v>
      </c>
      <c r="S3">
        <v>50</v>
      </c>
      <c r="T3">
        <v>72</v>
      </c>
      <c r="U3">
        <v>86</v>
      </c>
      <c r="V3">
        <v>73</v>
      </c>
      <c r="W3">
        <f t="shared" si="2"/>
        <v>68.166666666666671</v>
      </c>
      <c r="Z3">
        <v>63</v>
      </c>
      <c r="AA3">
        <v>77</v>
      </c>
      <c r="AB3">
        <v>50</v>
      </c>
      <c r="AC3">
        <v>87</v>
      </c>
      <c r="AD3">
        <v>65</v>
      </c>
      <c r="AE3">
        <v>95</v>
      </c>
      <c r="AF3">
        <f t="shared" si="3"/>
        <v>72.833333333333329</v>
      </c>
      <c r="AH3">
        <f t="shared" si="4"/>
        <v>69.991666666666674</v>
      </c>
      <c r="AI3" s="1" t="s">
        <v>46</v>
      </c>
      <c r="AK3">
        <v>69.991666667000004</v>
      </c>
      <c r="AL3">
        <v>100</v>
      </c>
    </row>
    <row r="4" spans="1:40" x14ac:dyDescent="0.3">
      <c r="A4" t="s">
        <v>54</v>
      </c>
      <c r="B4" t="s">
        <v>34</v>
      </c>
      <c r="C4" s="1">
        <v>10</v>
      </c>
      <c r="D4" s="1">
        <v>8</v>
      </c>
      <c r="E4" s="1">
        <v>6</v>
      </c>
      <c r="F4" s="1">
        <v>4</v>
      </c>
      <c r="G4" s="1">
        <v>10</v>
      </c>
      <c r="H4" s="1">
        <v>10</v>
      </c>
      <c r="I4" s="1">
        <v>9</v>
      </c>
      <c r="J4" s="1">
        <v>16</v>
      </c>
      <c r="K4">
        <f t="shared" si="0"/>
        <v>81.111111111111114</v>
      </c>
      <c r="M4">
        <v>90</v>
      </c>
      <c r="N4">
        <v>100</v>
      </c>
      <c r="O4">
        <f t="shared" si="1"/>
        <v>95</v>
      </c>
      <c r="Q4">
        <v>76</v>
      </c>
      <c r="R4">
        <v>74</v>
      </c>
      <c r="S4">
        <v>65</v>
      </c>
      <c r="U4">
        <v>60</v>
      </c>
      <c r="V4">
        <v>77</v>
      </c>
      <c r="W4">
        <f t="shared" si="2"/>
        <v>58.666666666666664</v>
      </c>
      <c r="Z4">
        <v>82</v>
      </c>
      <c r="AA4">
        <v>73</v>
      </c>
      <c r="AB4">
        <v>40</v>
      </c>
      <c r="AC4">
        <v>73</v>
      </c>
      <c r="AE4">
        <v>50</v>
      </c>
      <c r="AF4">
        <f t="shared" si="3"/>
        <v>53</v>
      </c>
      <c r="AH4">
        <f t="shared" si="4"/>
        <v>66.055555555555571</v>
      </c>
      <c r="AI4" s="1" t="s">
        <v>46</v>
      </c>
      <c r="AJ4" t="s">
        <v>63</v>
      </c>
      <c r="AK4">
        <v>62.305555556000002</v>
      </c>
      <c r="AL4">
        <v>100</v>
      </c>
    </row>
    <row r="5" spans="1:40" x14ac:dyDescent="0.3">
      <c r="A5" t="s">
        <v>52</v>
      </c>
      <c r="B5" t="s">
        <v>30</v>
      </c>
      <c r="C5" s="1">
        <v>10</v>
      </c>
      <c r="D5" s="1">
        <v>10</v>
      </c>
      <c r="E5" s="1">
        <v>10</v>
      </c>
      <c r="F5" s="1">
        <v>9</v>
      </c>
      <c r="G5" s="1">
        <v>10</v>
      </c>
      <c r="H5" s="1">
        <v>10</v>
      </c>
      <c r="I5" s="1">
        <v>10</v>
      </c>
      <c r="J5" s="1">
        <v>20</v>
      </c>
      <c r="K5">
        <f t="shared" si="0"/>
        <v>98.888888888888886</v>
      </c>
      <c r="M5">
        <v>90</v>
      </c>
      <c r="N5">
        <v>100</v>
      </c>
      <c r="O5">
        <f t="shared" si="1"/>
        <v>95</v>
      </c>
      <c r="Q5">
        <v>96</v>
      </c>
      <c r="R5">
        <v>94</v>
      </c>
      <c r="S5">
        <v>70</v>
      </c>
      <c r="T5">
        <v>90</v>
      </c>
      <c r="U5">
        <v>96</v>
      </c>
      <c r="V5">
        <v>84</v>
      </c>
      <c r="W5">
        <f t="shared" si="2"/>
        <v>88.333333333333329</v>
      </c>
      <c r="Z5">
        <v>92</v>
      </c>
      <c r="AA5">
        <v>97</v>
      </c>
      <c r="AB5">
        <v>61</v>
      </c>
      <c r="AC5">
        <v>99</v>
      </c>
      <c r="AD5">
        <v>89</v>
      </c>
      <c r="AE5">
        <v>99</v>
      </c>
      <c r="AF5">
        <f t="shared" si="3"/>
        <v>89.5</v>
      </c>
      <c r="AH5">
        <f t="shared" si="4"/>
        <v>91.969444444444434</v>
      </c>
      <c r="AI5" s="1" t="s">
        <v>47</v>
      </c>
      <c r="AK5">
        <v>91.969444444000004</v>
      </c>
      <c r="AL5">
        <v>100</v>
      </c>
    </row>
    <row r="6" spans="1:40" x14ac:dyDescent="0.3">
      <c r="A6" t="s">
        <v>53</v>
      </c>
      <c r="B6" t="s">
        <v>32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9</v>
      </c>
      <c r="I6" s="1">
        <v>10</v>
      </c>
      <c r="J6" s="1">
        <v>20</v>
      </c>
      <c r="K6">
        <f t="shared" si="0"/>
        <v>98.888888888888886</v>
      </c>
      <c r="M6">
        <v>99</v>
      </c>
      <c r="N6">
        <v>100</v>
      </c>
      <c r="O6">
        <f t="shared" si="1"/>
        <v>99.5</v>
      </c>
      <c r="Q6">
        <v>83</v>
      </c>
      <c r="R6">
        <v>95</v>
      </c>
      <c r="S6">
        <v>89</v>
      </c>
      <c r="T6">
        <v>90</v>
      </c>
      <c r="U6">
        <v>92</v>
      </c>
      <c r="V6">
        <v>92</v>
      </c>
      <c r="W6">
        <f t="shared" si="2"/>
        <v>90.166666666666671</v>
      </c>
      <c r="Z6">
        <v>86</v>
      </c>
      <c r="AA6">
        <v>93</v>
      </c>
      <c r="AB6">
        <v>94</v>
      </c>
      <c r="AC6">
        <v>99</v>
      </c>
      <c r="AD6">
        <v>90</v>
      </c>
      <c r="AE6">
        <v>93</v>
      </c>
      <c r="AF6">
        <f t="shared" si="3"/>
        <v>92.5</v>
      </c>
      <c r="AH6">
        <f t="shared" si="4"/>
        <v>94.361111111111114</v>
      </c>
      <c r="AI6" s="1" t="s">
        <v>47</v>
      </c>
      <c r="AK6">
        <v>94.361111111</v>
      </c>
      <c r="AL6">
        <v>100</v>
      </c>
    </row>
    <row r="7" spans="1:40" x14ac:dyDescent="0.3">
      <c r="A7" t="s">
        <v>49</v>
      </c>
      <c r="B7" t="s">
        <v>27</v>
      </c>
      <c r="C7" s="1">
        <v>10</v>
      </c>
      <c r="D7" s="1">
        <v>5</v>
      </c>
      <c r="F7" s="1">
        <v>4</v>
      </c>
      <c r="G7" s="1">
        <v>10</v>
      </c>
      <c r="H7" s="1">
        <v>8</v>
      </c>
      <c r="J7" s="1">
        <v>17</v>
      </c>
      <c r="K7">
        <f t="shared" si="0"/>
        <v>60</v>
      </c>
      <c r="M7">
        <v>80</v>
      </c>
      <c r="N7">
        <v>100</v>
      </c>
      <c r="O7">
        <f t="shared" si="1"/>
        <v>90</v>
      </c>
      <c r="Q7">
        <v>63</v>
      </c>
      <c r="R7">
        <v>69</v>
      </c>
      <c r="S7">
        <v>72</v>
      </c>
      <c r="T7">
        <v>50</v>
      </c>
      <c r="U7">
        <v>65</v>
      </c>
      <c r="V7">
        <v>73</v>
      </c>
      <c r="W7">
        <f t="shared" si="2"/>
        <v>65.333333333333329</v>
      </c>
      <c r="Z7">
        <v>93</v>
      </c>
      <c r="AA7">
        <v>71</v>
      </c>
      <c r="AB7">
        <v>53</v>
      </c>
      <c r="AC7">
        <v>82</v>
      </c>
      <c r="AD7">
        <v>66</v>
      </c>
      <c r="AE7">
        <v>93</v>
      </c>
      <c r="AF7">
        <f t="shared" si="3"/>
        <v>76.333333333333329</v>
      </c>
      <c r="AH7">
        <f t="shared" si="4"/>
        <v>72.916666666666657</v>
      </c>
      <c r="AI7" s="1" t="s">
        <v>46</v>
      </c>
      <c r="AK7">
        <v>72.916666667000001</v>
      </c>
      <c r="AL7">
        <v>100</v>
      </c>
    </row>
    <row r="8" spans="1:40" x14ac:dyDescent="0.3">
      <c r="A8" t="s">
        <v>58</v>
      </c>
      <c r="B8" t="s">
        <v>33</v>
      </c>
      <c r="C8" s="1">
        <v>10</v>
      </c>
      <c r="D8" s="1">
        <v>8</v>
      </c>
      <c r="E8" s="1">
        <v>9</v>
      </c>
      <c r="F8" s="1">
        <v>2</v>
      </c>
      <c r="G8" s="1">
        <v>10</v>
      </c>
      <c r="H8" s="1">
        <v>7</v>
      </c>
      <c r="I8" s="1">
        <v>10</v>
      </c>
      <c r="J8" s="1">
        <v>20</v>
      </c>
      <c r="K8">
        <f t="shared" si="0"/>
        <v>84.444444444444443</v>
      </c>
      <c r="M8">
        <v>60</v>
      </c>
      <c r="O8">
        <f t="shared" si="1"/>
        <v>30</v>
      </c>
      <c r="Q8">
        <v>69</v>
      </c>
      <c r="R8">
        <v>69</v>
      </c>
      <c r="S8">
        <v>50</v>
      </c>
      <c r="T8">
        <v>89</v>
      </c>
      <c r="U8">
        <v>65</v>
      </c>
      <c r="V8">
        <v>81</v>
      </c>
      <c r="W8">
        <f t="shared" si="2"/>
        <v>70.5</v>
      </c>
      <c r="Z8">
        <v>86</v>
      </c>
      <c r="AA8">
        <v>50</v>
      </c>
      <c r="AB8">
        <v>82</v>
      </c>
      <c r="AC8">
        <v>50</v>
      </c>
      <c r="AD8">
        <v>70</v>
      </c>
      <c r="AE8">
        <v>95</v>
      </c>
      <c r="AF8">
        <f t="shared" si="3"/>
        <v>72.166666666666671</v>
      </c>
      <c r="AH8">
        <f t="shared" si="4"/>
        <v>67.963888888888903</v>
      </c>
      <c r="AI8" s="1" t="s">
        <v>46</v>
      </c>
      <c r="AK8">
        <v>67.963888889000003</v>
      </c>
      <c r="AL8">
        <v>100</v>
      </c>
    </row>
    <row r="9" spans="1:40" x14ac:dyDescent="0.3">
      <c r="A9" t="s">
        <v>62</v>
      </c>
      <c r="B9" t="s">
        <v>40</v>
      </c>
      <c r="C9" s="1">
        <v>10</v>
      </c>
      <c r="D9" s="1">
        <v>9</v>
      </c>
      <c r="E9" s="1">
        <v>8</v>
      </c>
      <c r="F9" s="1">
        <v>10</v>
      </c>
      <c r="G9" s="1">
        <v>10</v>
      </c>
      <c r="H9" s="1">
        <v>10</v>
      </c>
      <c r="I9" s="1">
        <v>10</v>
      </c>
      <c r="J9" s="1">
        <v>20</v>
      </c>
      <c r="K9">
        <f t="shared" si="0"/>
        <v>96.666666666666657</v>
      </c>
      <c r="M9">
        <v>100</v>
      </c>
      <c r="N9">
        <v>100</v>
      </c>
      <c r="O9">
        <f t="shared" si="1"/>
        <v>100</v>
      </c>
      <c r="Q9">
        <v>94</v>
      </c>
      <c r="R9">
        <v>94</v>
      </c>
      <c r="S9">
        <v>82</v>
      </c>
      <c r="T9">
        <v>85</v>
      </c>
      <c r="U9">
        <v>98</v>
      </c>
      <c r="V9">
        <v>94</v>
      </c>
      <c r="W9">
        <f t="shared" si="2"/>
        <v>91.166666666666671</v>
      </c>
      <c r="Z9">
        <v>86</v>
      </c>
      <c r="AA9">
        <v>90</v>
      </c>
      <c r="AB9">
        <v>96</v>
      </c>
      <c r="AC9">
        <v>99</v>
      </c>
      <c r="AD9">
        <v>95</v>
      </c>
      <c r="AE9">
        <v>94</v>
      </c>
      <c r="AF9">
        <f t="shared" si="3"/>
        <v>93.333333333333329</v>
      </c>
      <c r="AH9">
        <f t="shared" si="4"/>
        <v>94.566666666666663</v>
      </c>
      <c r="AI9" s="1" t="s">
        <v>47</v>
      </c>
      <c r="AK9">
        <v>94.566666667000007</v>
      </c>
      <c r="AL9">
        <v>100</v>
      </c>
    </row>
    <row r="10" spans="1:40" x14ac:dyDescent="0.3">
      <c r="A10" t="s">
        <v>56</v>
      </c>
      <c r="B10" t="s">
        <v>39</v>
      </c>
      <c r="C10" s="1">
        <v>10</v>
      </c>
      <c r="D10" s="1">
        <v>8</v>
      </c>
      <c r="E10" s="1">
        <v>7</v>
      </c>
      <c r="F10" s="1">
        <v>8</v>
      </c>
      <c r="G10" s="1">
        <v>10</v>
      </c>
      <c r="H10" s="1">
        <v>9</v>
      </c>
      <c r="I10" s="1">
        <v>9</v>
      </c>
      <c r="J10" s="1">
        <v>20</v>
      </c>
      <c r="K10">
        <f t="shared" si="0"/>
        <v>90</v>
      </c>
      <c r="M10">
        <v>90</v>
      </c>
      <c r="N10">
        <v>100</v>
      </c>
      <c r="O10">
        <f t="shared" si="1"/>
        <v>95</v>
      </c>
      <c r="Q10">
        <v>76</v>
      </c>
      <c r="R10">
        <v>78</v>
      </c>
      <c r="S10">
        <v>86</v>
      </c>
      <c r="T10">
        <v>85</v>
      </c>
      <c r="U10">
        <v>50</v>
      </c>
      <c r="V10">
        <v>75</v>
      </c>
      <c r="W10">
        <f t="shared" si="2"/>
        <v>75</v>
      </c>
      <c r="Z10">
        <v>83</v>
      </c>
      <c r="AA10">
        <v>75</v>
      </c>
      <c r="AB10">
        <v>77</v>
      </c>
      <c r="AC10">
        <v>69</v>
      </c>
      <c r="AD10">
        <v>85</v>
      </c>
      <c r="AE10">
        <v>81</v>
      </c>
      <c r="AF10">
        <f t="shared" si="3"/>
        <v>78.333333333333329</v>
      </c>
      <c r="AH10">
        <f t="shared" si="4"/>
        <v>82.5</v>
      </c>
      <c r="AI10" s="1" t="s">
        <v>48</v>
      </c>
      <c r="AK10">
        <v>82.5</v>
      </c>
      <c r="AL10">
        <v>100</v>
      </c>
    </row>
    <row r="11" spans="1:40" x14ac:dyDescent="0.3">
      <c r="A11" t="s">
        <v>59</v>
      </c>
      <c r="B11" t="s">
        <v>35</v>
      </c>
      <c r="C11" s="1">
        <v>10</v>
      </c>
      <c r="D11" s="1">
        <v>8</v>
      </c>
      <c r="E11" s="1">
        <v>9</v>
      </c>
      <c r="F11" s="1">
        <v>7</v>
      </c>
      <c r="G11" s="1">
        <v>10</v>
      </c>
      <c r="H11" s="1">
        <v>7</v>
      </c>
      <c r="I11" s="1">
        <v>9</v>
      </c>
      <c r="J11" s="1">
        <v>20</v>
      </c>
      <c r="K11">
        <f t="shared" si="0"/>
        <v>88.888888888888886</v>
      </c>
      <c r="M11">
        <v>87</v>
      </c>
      <c r="N11">
        <v>100</v>
      </c>
      <c r="O11">
        <f t="shared" si="1"/>
        <v>93.5</v>
      </c>
      <c r="Q11">
        <v>0</v>
      </c>
      <c r="R11">
        <v>87</v>
      </c>
      <c r="S11">
        <v>64</v>
      </c>
      <c r="T11">
        <v>86</v>
      </c>
      <c r="U11">
        <v>91</v>
      </c>
      <c r="V11">
        <v>85</v>
      </c>
      <c r="W11">
        <f t="shared" si="2"/>
        <v>68.833333333333329</v>
      </c>
      <c r="Z11">
        <v>77</v>
      </c>
      <c r="AA11">
        <v>84</v>
      </c>
      <c r="AB11">
        <v>73</v>
      </c>
      <c r="AC11">
        <v>91</v>
      </c>
      <c r="AD11">
        <v>80</v>
      </c>
      <c r="AE11">
        <v>81</v>
      </c>
      <c r="AF11">
        <f t="shared" si="3"/>
        <v>81</v>
      </c>
      <c r="AH11">
        <f t="shared" si="4"/>
        <v>82.019444444444446</v>
      </c>
      <c r="AI11" s="1" t="s">
        <v>48</v>
      </c>
      <c r="AK11">
        <v>82.019444444000001</v>
      </c>
      <c r="AL11">
        <v>100</v>
      </c>
    </row>
    <row r="12" spans="1:40" x14ac:dyDescent="0.3">
      <c r="A12" t="s">
        <v>57</v>
      </c>
      <c r="B12" t="s">
        <v>31</v>
      </c>
      <c r="C12" s="1">
        <v>10</v>
      </c>
      <c r="D12" s="1">
        <v>10</v>
      </c>
      <c r="E12" s="1">
        <v>10</v>
      </c>
      <c r="F12" s="1">
        <v>9</v>
      </c>
      <c r="G12" s="1">
        <v>10</v>
      </c>
      <c r="H12" s="1">
        <v>8</v>
      </c>
      <c r="I12" s="1">
        <v>10</v>
      </c>
      <c r="J12" s="1">
        <v>20</v>
      </c>
      <c r="K12">
        <f t="shared" si="0"/>
        <v>96.666666666666657</v>
      </c>
      <c r="M12">
        <v>99</v>
      </c>
      <c r="N12">
        <v>100</v>
      </c>
      <c r="O12">
        <f t="shared" si="1"/>
        <v>99.5</v>
      </c>
      <c r="Q12">
        <v>92</v>
      </c>
      <c r="R12">
        <v>98</v>
      </c>
      <c r="S12">
        <v>99</v>
      </c>
      <c r="T12">
        <v>99</v>
      </c>
      <c r="U12">
        <v>100</v>
      </c>
      <c r="V12">
        <v>92</v>
      </c>
      <c r="W12">
        <f t="shared" si="2"/>
        <v>96.666666666666671</v>
      </c>
      <c r="Z12">
        <v>98</v>
      </c>
      <c r="AA12">
        <v>97</v>
      </c>
      <c r="AB12">
        <v>97</v>
      </c>
      <c r="AC12">
        <v>98</v>
      </c>
      <c r="AD12">
        <v>95</v>
      </c>
      <c r="AE12">
        <v>94</v>
      </c>
      <c r="AF12">
        <f t="shared" si="3"/>
        <v>96.5</v>
      </c>
      <c r="AH12">
        <f t="shared" si="4"/>
        <v>97.01666666666668</v>
      </c>
      <c r="AI12" s="1" t="s">
        <v>47</v>
      </c>
      <c r="AK12">
        <v>97.016666666999996</v>
      </c>
      <c r="AL12">
        <v>100</v>
      </c>
    </row>
    <row r="13" spans="1:40" x14ac:dyDescent="0.3">
      <c r="A13" t="s">
        <v>60</v>
      </c>
      <c r="B13" t="s">
        <v>36</v>
      </c>
      <c r="C13" s="1">
        <v>10</v>
      </c>
      <c r="D13" s="1">
        <v>10</v>
      </c>
      <c r="E13" s="1">
        <v>10</v>
      </c>
      <c r="F13" s="1">
        <v>8</v>
      </c>
      <c r="G13" s="1">
        <v>10</v>
      </c>
      <c r="H13" s="1">
        <v>9</v>
      </c>
      <c r="I13" s="1">
        <v>9</v>
      </c>
      <c r="J13" s="1">
        <v>17</v>
      </c>
      <c r="K13">
        <f t="shared" si="0"/>
        <v>92.222222222222214</v>
      </c>
      <c r="M13">
        <v>100</v>
      </c>
      <c r="N13">
        <v>100</v>
      </c>
      <c r="O13">
        <f t="shared" si="1"/>
        <v>100</v>
      </c>
      <c r="Q13">
        <v>50</v>
      </c>
      <c r="R13">
        <v>81</v>
      </c>
      <c r="S13">
        <v>84</v>
      </c>
      <c r="T13">
        <v>90</v>
      </c>
      <c r="U13">
        <v>74</v>
      </c>
      <c r="V13">
        <v>73</v>
      </c>
      <c r="W13">
        <f t="shared" si="2"/>
        <v>75.333333333333329</v>
      </c>
      <c r="Z13">
        <v>80</v>
      </c>
      <c r="AA13">
        <v>84</v>
      </c>
      <c r="AB13">
        <v>90</v>
      </c>
      <c r="AC13">
        <v>90</v>
      </c>
      <c r="AD13">
        <v>85</v>
      </c>
      <c r="AE13">
        <v>94</v>
      </c>
      <c r="AF13">
        <f t="shared" si="3"/>
        <v>87.166666666666671</v>
      </c>
      <c r="AH13">
        <f t="shared" si="4"/>
        <v>87.736111111111114</v>
      </c>
      <c r="AI13" s="1" t="s">
        <v>48</v>
      </c>
      <c r="AK13">
        <v>87.736111111</v>
      </c>
      <c r="AL13">
        <v>100</v>
      </c>
    </row>
    <row r="14" spans="1:40" x14ac:dyDescent="0.3">
      <c r="A14" t="s">
        <v>61</v>
      </c>
      <c r="B14" t="s">
        <v>37</v>
      </c>
      <c r="C14" s="1">
        <v>10</v>
      </c>
      <c r="D14" s="1">
        <v>10</v>
      </c>
      <c r="E14" s="1">
        <v>10</v>
      </c>
      <c r="F14" s="1">
        <v>9</v>
      </c>
      <c r="G14" s="1">
        <v>10</v>
      </c>
      <c r="H14" s="1">
        <v>10</v>
      </c>
      <c r="I14" s="1">
        <v>10</v>
      </c>
      <c r="J14" s="1">
        <v>20</v>
      </c>
      <c r="K14">
        <f t="shared" si="0"/>
        <v>98.888888888888886</v>
      </c>
      <c r="M14">
        <v>99</v>
      </c>
      <c r="N14">
        <v>100</v>
      </c>
      <c r="O14">
        <f t="shared" si="1"/>
        <v>99.5</v>
      </c>
      <c r="Q14">
        <v>90</v>
      </c>
      <c r="R14">
        <v>93</v>
      </c>
      <c r="S14">
        <v>92</v>
      </c>
      <c r="T14">
        <v>98</v>
      </c>
      <c r="U14">
        <v>98</v>
      </c>
      <c r="V14">
        <v>92</v>
      </c>
      <c r="W14">
        <f t="shared" si="2"/>
        <v>93.833333333333329</v>
      </c>
      <c r="Z14">
        <v>97</v>
      </c>
      <c r="AA14">
        <v>95</v>
      </c>
      <c r="AB14">
        <v>93</v>
      </c>
      <c r="AC14">
        <v>98</v>
      </c>
      <c r="AD14">
        <v>97</v>
      </c>
      <c r="AE14">
        <v>94</v>
      </c>
      <c r="AF14">
        <f t="shared" si="3"/>
        <v>95.666666666666671</v>
      </c>
      <c r="AH14">
        <f t="shared" si="4"/>
        <v>96.519444444444446</v>
      </c>
      <c r="AI14" s="1" t="s">
        <v>47</v>
      </c>
      <c r="AK14">
        <v>96.519444444000001</v>
      </c>
      <c r="AL14">
        <v>100</v>
      </c>
    </row>
    <row r="15" spans="1:40" x14ac:dyDescent="0.3">
      <c r="A15" t="s">
        <v>55</v>
      </c>
      <c r="B15" t="s">
        <v>38</v>
      </c>
      <c r="C15" s="1">
        <v>10</v>
      </c>
      <c r="D15" s="1">
        <v>9</v>
      </c>
      <c r="E15" s="1">
        <v>8</v>
      </c>
      <c r="F15" s="1">
        <v>8</v>
      </c>
      <c r="G15" s="1">
        <v>9</v>
      </c>
      <c r="H15" s="1">
        <v>10</v>
      </c>
      <c r="I15" s="1">
        <v>10</v>
      </c>
      <c r="J15" s="1">
        <v>20</v>
      </c>
      <c r="K15">
        <f t="shared" si="0"/>
        <v>93.333333333333329</v>
      </c>
      <c r="M15">
        <v>100</v>
      </c>
      <c r="N15">
        <v>100</v>
      </c>
      <c r="O15">
        <f t="shared" si="1"/>
        <v>100</v>
      </c>
      <c r="Q15">
        <v>90</v>
      </c>
      <c r="R15">
        <v>96</v>
      </c>
      <c r="S15">
        <v>87</v>
      </c>
      <c r="T15">
        <v>90</v>
      </c>
      <c r="U15">
        <v>92</v>
      </c>
      <c r="V15">
        <v>92</v>
      </c>
      <c r="W15">
        <f t="shared" si="2"/>
        <v>91.166666666666671</v>
      </c>
      <c r="Z15">
        <v>87</v>
      </c>
      <c r="AA15">
        <v>91</v>
      </c>
      <c r="AB15">
        <v>88</v>
      </c>
      <c r="AC15">
        <v>92</v>
      </c>
      <c r="AD15">
        <v>95</v>
      </c>
      <c r="AE15">
        <v>87</v>
      </c>
      <c r="AF15">
        <f t="shared" si="3"/>
        <v>90</v>
      </c>
      <c r="AH15">
        <f t="shared" si="4"/>
        <v>92.4</v>
      </c>
      <c r="AI15" s="1" t="s">
        <v>47</v>
      </c>
      <c r="AK15">
        <v>92.4</v>
      </c>
      <c r="AL15">
        <v>100</v>
      </c>
    </row>
  </sheetData>
  <sortState ref="A2:AN15">
    <sortCondition ref="A2:A15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Colbert, Thomas M.</dc:creator>
  <cp:lastModifiedBy>Colbert, Thomas M.</cp:lastModifiedBy>
  <dcterms:created xsi:type="dcterms:W3CDTF">2021-05-07T14:41:18Z</dcterms:created>
  <dcterms:modified xsi:type="dcterms:W3CDTF">2021-05-08T13:40:13Z</dcterms:modified>
</cp:coreProperties>
</file>